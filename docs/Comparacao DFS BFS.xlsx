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gabriel.alvise\Downloads\"/>
    </mc:Choice>
  </mc:AlternateContent>
  <xr:revisionPtr revIDLastSave="0" documentId="8_{10EF6254-CB40-4B52-8CAB-3F91AAE2068D}" xr6:coauthVersionLast="47" xr6:coauthVersionMax="47" xr10:uidLastSave="{00000000-0000-0000-0000-000000000000}"/>
  <bookViews>
    <workbookView xWindow="-21720" yWindow="4410" windowWidth="21840" windowHeight="13020" xr2:uid="{00000000-000D-0000-FFFF-FFFF00000000}"/>
  </bookViews>
  <sheets>
    <sheet name="Resumo" sheetId="1" r:id="rId1"/>
    <sheet name="Mediçõ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2" i="2" l="1"/>
  <c r="D9" i="1" s="1"/>
  <c r="E22" i="2"/>
  <c r="C9" i="1" s="1"/>
  <c r="D22" i="2"/>
  <c r="D7" i="1" s="1"/>
  <c r="C22" i="2"/>
  <c r="C7" i="1" s="1"/>
  <c r="F21" i="2"/>
  <c r="D8" i="1" s="1"/>
  <c r="T7" i="1" s="1"/>
  <c r="E21" i="2"/>
  <c r="C8" i="1" s="1"/>
  <c r="S7" i="1" s="1"/>
  <c r="D21" i="2"/>
  <c r="D6" i="1" s="1"/>
  <c r="T3" i="1" s="1"/>
  <c r="C21" i="2"/>
  <c r="C6" i="1" s="1"/>
  <c r="S3" i="1" s="1"/>
  <c r="T11" i="1"/>
  <c r="S11" i="1"/>
</calcChain>
</file>

<file path=xl/sharedStrings.xml><?xml version="1.0" encoding="utf-8"?>
<sst xmlns="http://schemas.openxmlformats.org/spreadsheetml/2006/main" count="58" uniqueCount="45">
  <si>
    <t>DFS × BFS no labirinto</t>
  </si>
  <si>
    <t>Métrica</t>
  </si>
  <si>
    <t>DFS</t>
  </si>
  <si>
    <t>BFS</t>
  </si>
  <si>
    <t>Comparação das duas buscas</t>
  </si>
  <si>
    <t>Tempo médio</t>
  </si>
  <si>
    <t>Indicador</t>
  </si>
  <si>
    <t>Unidade</t>
  </si>
  <si>
    <t>ms</t>
  </si>
  <si>
    <t>Desvio padrão do tempo</t>
  </si>
  <si>
    <t>Memória média</t>
  </si>
  <si>
    <t>KiB</t>
  </si>
  <si>
    <t>Desvio padrão da memória</t>
  </si>
  <si>
    <t>Posições examinadas</t>
  </si>
  <si>
    <t>posições</t>
  </si>
  <si>
    <t>Movimentos do caminho</t>
  </si>
  <si>
    <t>movimentos</t>
  </si>
  <si>
    <t>Posições</t>
  </si>
  <si>
    <t>Encontrou a saída?</t>
  </si>
  <si>
    <t>Sim</t>
  </si>
  <si>
    <t>Neste labirinto, a DFS examinou 9 posições e a BFS examinou 11. As duas encontraram 8 movimentos.</t>
  </si>
  <si>
    <t>Como ler</t>
  </si>
  <si>
    <t>Menor tempo e menor memória significam menor custo neste teste.</t>
  </si>
  <si>
    <t>Posições examinadas contam a exploração até encontrar a saída.</t>
  </si>
  <si>
    <t>Movimentos contam apenas o caminho final.</t>
  </si>
  <si>
    <t>Medições do benchmark</t>
  </si>
  <si>
    <t>Labirinto 5 × 5 · dados informados nesta conversa</t>
  </si>
  <si>
    <t>Amostra</t>
  </si>
  <si>
    <t>DFS tempo (ms)</t>
  </si>
  <si>
    <t>BFS tempo (ms)</t>
  </si>
  <si>
    <t>DFS memória (KiB)</t>
  </si>
  <si>
    <t>BFS memória (KiB)</t>
  </si>
  <si>
    <t>Estatísticas após descartar o menor e o maior valor de cada coluna</t>
  </si>
  <si>
    <t>Cálculo</t>
  </si>
  <si>
    <t>DFS tempo</t>
  </si>
  <si>
    <t>BFS tempo</t>
  </si>
  <si>
    <t>DFS memória</t>
  </si>
  <si>
    <t>BFS memória</t>
  </si>
  <si>
    <t>Média</t>
  </si>
  <si>
    <t>Desvio padrão</t>
  </si>
  <si>
    <t>Tempo: 10 amostras, cada uma com 1.000 execuções; valores em ms por execução.</t>
  </si>
  <si>
    <t>Memória: 10 execuções individuais; pico de alocações Python via tracemalloc.</t>
  </si>
  <si>
    <t>Memória transcrita com as três casas decimais exibidas na execução original.</t>
  </si>
  <si>
    <t>BFS = Busca em Largura</t>
  </si>
  <si>
    <t>DFS = Busca em Profundidade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</si>
</sst>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"/>
  </numFmts>
  <fonts count="7">
    <font>
      <sz val="11"/>
      <name val="Carlito"/>
    </font>
    <font>
      <sz val="10"/>
      <color rgb="FF183247"/>
      <name val="Arial"/>
    </font>
    <font>
      <b/>
      <sz val="16"/>
      <color rgb="FF173B56"/>
      <name val="Arial"/>
    </font>
    <font>
      <sz val="10"/>
      <color rgb="FF627586"/>
      <name val="Arial"/>
    </font>
    <font>
      <b/>
      <sz val="10"/>
      <color rgb="FFFFFFFF"/>
      <name val="Arial"/>
    </font>
    <font>
      <b/>
      <sz val="11"/>
      <color rgb="FF173B56"/>
      <name val="Arial"/>
    </font>
    <font>
      <b/>
      <sz val="10"/>
      <color rgb="FF173B56"/>
      <name val="Arial"/>
    </font>
  </fonts>
  <fills count="5">
    <fill>
      <patternFill patternType="none"/>
    </fill>
    <fill>
      <patternFill patternType="gray125"/>
    </fill>
    <fill>
      <patternFill patternType="solid">
        <fgColor rgb="FF173B56"/>
      </patternFill>
    </fill>
    <fill>
      <patternFill patternType="solid">
        <fgColor rgb="FFF5F9FC"/>
      </patternFill>
    </fill>
    <fill>
      <patternFill patternType="solid">
        <fgColor rgb="FFEDF4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NumberFormat="1" applyFont="1" applyFill="1" applyBorder="1"/>
    <xf numFmtId="0" fontId="2" fillId="0" borderId="0" xfId="0" applyNumberFormat="1" applyFont="1" applyFill="1" applyBorder="1"/>
    <xf numFmtId="0" fontId="3" fillId="0" borderId="0" xfId="0" applyNumberFormat="1" applyFont="1" applyFill="1" applyBorder="1"/>
    <xf numFmtId="0" fontId="4" fillId="2" borderId="0" xfId="0" applyNumberFormat="1" applyFont="1" applyFill="1" applyBorder="1"/>
    <xf numFmtId="0" fontId="5" fillId="0" borderId="0" xfId="0" applyNumberFormat="1" applyFont="1" applyFill="1" applyBorder="1"/>
    <xf numFmtId="0" fontId="1" fillId="3" borderId="0" xfId="0" applyNumberFormat="1" applyFont="1" applyFill="1" applyBorder="1"/>
    <xf numFmtId="0" fontId="1" fillId="4" borderId="0" xfId="0" applyNumberFormat="1" applyFont="1" applyFill="1" applyBorder="1"/>
    <xf numFmtId="0" fontId="6" fillId="0" borderId="0" xfId="0" applyNumberFormat="1" applyFont="1" applyFill="1" applyBorder="1"/>
    <xf numFmtId="0" fontId="4" fillId="2" borderId="0" xfId="0" applyNumberFormat="1" applyFont="1" applyFill="1" applyBorder="1" applyAlignment="1">
      <alignment horizontal="center"/>
    </xf>
    <xf numFmtId="164" fontId="1" fillId="3" borderId="0" xfId="0" applyNumberFormat="1" applyFont="1" applyFill="1" applyBorder="1" applyAlignment="1">
      <alignment horizontal="center"/>
    </xf>
    <xf numFmtId="165" fontId="1" fillId="3" borderId="0" xfId="0" applyNumberFormat="1" applyFont="1" applyFill="1" applyBorder="1" applyAlignment="1">
      <alignment horizontal="center"/>
    </xf>
    <xf numFmtId="1" fontId="1" fillId="4" borderId="0" xfId="0" applyNumberFormat="1" applyFont="1" applyFill="1" applyBorder="1" applyAlignment="1">
      <alignment horizontal="center"/>
    </xf>
    <xf numFmtId="1" fontId="1" fillId="3" borderId="0" xfId="0" applyNumberFormat="1" applyFont="1" applyFill="1" applyBorder="1" applyAlignment="1">
      <alignment horizontal="center"/>
    </xf>
    <xf numFmtId="0" fontId="1" fillId="3" borderId="0" xfId="0" applyNumberFormat="1" applyFont="1" applyFill="1" applyBorder="1" applyAlignment="1">
      <alignment horizontal="center"/>
    </xf>
    <xf numFmtId="0" fontId="1" fillId="4" borderId="0" xfId="0" applyNumberFormat="1" applyFont="1" applyFill="1" applyBorder="1" applyAlignment="1">
      <alignment horizontal="center"/>
    </xf>
    <xf numFmtId="164" fontId="1" fillId="4" borderId="0" xfId="0" applyNumberFormat="1" applyFont="1" applyFill="1" applyBorder="1" applyAlignment="1">
      <alignment horizontal="center"/>
    </xf>
    <xf numFmtId="165" fontId="1" fillId="4" borderId="0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rPr lang="pt-BR" sz="900">
                <a:latin typeface="Arial"/>
                <a:ea typeface="Arial"/>
                <a:cs typeface="Arial"/>
              </a:rPr>
              <a:t>Tempo médio (ms por execução)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DFS</c:v>
          </c:tx>
          <c:spPr>
            <a:solidFill>
              <a:srgbClr val="1F7898"/>
            </a:solidFill>
          </c:spPr>
          <c:invertIfNegative val="1"/>
          <c:cat>
            <c:strRef>
              <c:f>Resumo!$R$3</c:f>
              <c:strCache>
                <c:ptCount val="1"/>
                <c:pt idx="0">
                  <c:v>Tempo médio</c:v>
                </c:pt>
              </c:strCache>
            </c:strRef>
          </c:cat>
          <c:val>
            <c:numRef>
              <c:f>Resumo!$S$3</c:f>
              <c:numCache>
                <c:formatCode>General</c:formatCode>
                <c:ptCount val="1"/>
                <c:pt idx="0">
                  <c:v>8.0055000000000005E-3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B941-41CD-B412-B258D4FDC686}"/>
            </c:ext>
          </c:extLst>
        </c:ser>
        <c:ser>
          <c:idx val="1"/>
          <c:order val="1"/>
          <c:tx>
            <c:v>BFS</c:v>
          </c:tx>
          <c:spPr>
            <a:solidFill>
              <a:srgbClr val="E88C4A"/>
            </a:solidFill>
          </c:spPr>
          <c:invertIfNegative val="1"/>
          <c:cat>
            <c:strRef>
              <c:f>Resumo!$R$3</c:f>
              <c:strCache>
                <c:ptCount val="1"/>
                <c:pt idx="0">
                  <c:v>Tempo médio</c:v>
                </c:pt>
              </c:strCache>
            </c:strRef>
          </c:cat>
          <c:val>
            <c:numRef>
              <c:f>Resumo!$T$3</c:f>
              <c:numCache>
                <c:formatCode>General</c:formatCode>
                <c:ptCount val="1"/>
                <c:pt idx="0">
                  <c:v>9.7206250000000001E-3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1-B941-41CD-B412-B258D4FDC6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" sourceLinked="0"/>
        <c:majorTickMark val="none"/>
        <c:minorTickMark val="none"/>
        <c:tickLblPos val="nextTo"/>
        <c:txPr>
          <a:bodyPr anchorCtr="1"/>
          <a:lstStyle/>
          <a:p>
            <a:pPr>
              <a:defRPr>
                <a:latin typeface="Arial"/>
                <a:ea typeface="Arial"/>
                <a:cs typeface="Arial"/>
              </a:defRPr>
            </a:pPr>
            <a:endParaRPr lang="pt-BR"/>
          </a:p>
        </c:txPr>
        <c:crossAx val="48650112"/>
        <c:crosses val="autoZero"/>
        <c:crossBetween val="between"/>
      </c:valAx>
    </c:plotArea>
    <c:legend>
      <c:legendPos val="t"/>
      <c:overlay val="0"/>
      <c:txPr>
        <a:bodyPr anchorCtr="1"/>
        <a:lstStyle/>
        <a:p>
          <a:pPr>
            <a:defRPr>
              <a:latin typeface="Arial"/>
              <a:ea typeface="Arial"/>
              <a:cs typeface="Arial"/>
            </a:defRPr>
          </a:pPr>
          <a:endParaRPr lang="pt-BR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rPr lang="pt-BR" sz="900">
                <a:latin typeface="Arial"/>
                <a:ea typeface="Arial"/>
                <a:cs typeface="Arial"/>
              </a:rPr>
              <a:t>Memória média (KiB)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DFS</c:v>
          </c:tx>
          <c:spPr>
            <a:solidFill>
              <a:srgbClr val="1F7898"/>
            </a:solidFill>
          </c:spPr>
          <c:invertIfNegative val="1"/>
          <c:cat>
            <c:strRef>
              <c:f>Resumo!$R$7</c:f>
              <c:strCache>
                <c:ptCount val="1"/>
                <c:pt idx="0">
                  <c:v>Memória média</c:v>
                </c:pt>
              </c:strCache>
            </c:strRef>
          </c:cat>
          <c:val>
            <c:numRef>
              <c:f>Resumo!$S$7</c:f>
              <c:numCache>
                <c:formatCode>General</c:formatCode>
                <c:ptCount val="1"/>
                <c:pt idx="0">
                  <c:v>1.0860000000000001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681B-4D7C-9D77-FCA8787A932A}"/>
            </c:ext>
          </c:extLst>
        </c:ser>
        <c:ser>
          <c:idx val="1"/>
          <c:order val="1"/>
          <c:tx>
            <c:v>BFS</c:v>
          </c:tx>
          <c:spPr>
            <a:solidFill>
              <a:srgbClr val="E88C4A"/>
            </a:solidFill>
          </c:spPr>
          <c:invertIfNegative val="1"/>
          <c:cat>
            <c:strRef>
              <c:f>Resumo!$R$7</c:f>
              <c:strCache>
                <c:ptCount val="1"/>
                <c:pt idx="0">
                  <c:v>Memória média</c:v>
                </c:pt>
              </c:strCache>
            </c:strRef>
          </c:cat>
          <c:val>
            <c:numRef>
              <c:f>Resumo!$T$7</c:f>
              <c:numCache>
                <c:formatCode>General</c:formatCode>
                <c:ptCount val="1"/>
                <c:pt idx="0">
                  <c:v>2.1170000000000004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1-681B-4D7C-9D77-FCA8787A93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ickLblPos val="nextTo"/>
        <c:txPr>
          <a:bodyPr anchorCtr="1"/>
          <a:lstStyle/>
          <a:p>
            <a:pPr>
              <a:defRPr>
                <a:latin typeface="Arial"/>
                <a:ea typeface="Arial"/>
                <a:cs typeface="Arial"/>
              </a:defRPr>
            </a:pPr>
            <a:endParaRPr lang="pt-BR"/>
          </a:p>
        </c:txPr>
        <c:crossAx val="48650112"/>
        <c:crosses val="autoZero"/>
        <c:crossBetween val="between"/>
      </c:valAx>
    </c:plotArea>
    <c:legend>
      <c:legendPos val="t"/>
      <c:overlay val="0"/>
      <c:txPr>
        <a:bodyPr anchorCtr="1"/>
        <a:lstStyle/>
        <a:p>
          <a:pPr>
            <a:defRPr>
              <a:latin typeface="Arial"/>
              <a:ea typeface="Arial"/>
              <a:cs typeface="Arial"/>
            </a:defRPr>
          </a:pPr>
          <a:endParaRPr lang="pt-BR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rPr lang="pt-BR" sz="900">
                <a:latin typeface="Arial"/>
                <a:ea typeface="Arial"/>
                <a:cs typeface="Arial"/>
              </a:rPr>
              <a:t>Posições examinadas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DFS</c:v>
          </c:tx>
          <c:spPr>
            <a:solidFill>
              <a:srgbClr val="1F7898"/>
            </a:solidFill>
          </c:spPr>
          <c:invertIfNegative val="1"/>
          <c:cat>
            <c:strRef>
              <c:f>Resumo!$R$11</c:f>
              <c:strCache>
                <c:ptCount val="1"/>
                <c:pt idx="0">
                  <c:v>Posições</c:v>
                </c:pt>
              </c:strCache>
            </c:strRef>
          </c:cat>
          <c:val>
            <c:numRef>
              <c:f>Resumo!$S$11</c:f>
              <c:numCache>
                <c:formatCode>General</c:formatCode>
                <c:ptCount val="1"/>
                <c:pt idx="0">
                  <c:v>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BE45-458A-B319-2B02E5102517}"/>
            </c:ext>
          </c:extLst>
        </c:ser>
        <c:ser>
          <c:idx val="1"/>
          <c:order val="1"/>
          <c:tx>
            <c:v>BFS</c:v>
          </c:tx>
          <c:spPr>
            <a:solidFill>
              <a:srgbClr val="E88C4A"/>
            </a:solidFill>
          </c:spPr>
          <c:invertIfNegative val="1"/>
          <c:cat>
            <c:strRef>
              <c:f>Resumo!$R$11</c:f>
              <c:strCache>
                <c:ptCount val="1"/>
                <c:pt idx="0">
                  <c:v>Posições</c:v>
                </c:pt>
              </c:strCache>
            </c:strRef>
          </c:cat>
          <c:val>
            <c:numRef>
              <c:f>Resumo!$T$11</c:f>
              <c:numCache>
                <c:formatCode>General</c:formatCode>
                <c:ptCount val="1"/>
                <c:pt idx="0">
                  <c:v>11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1-BE45-458A-B319-2B02E51025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ickLblPos val="nextTo"/>
        <c:txPr>
          <a:bodyPr anchorCtr="1"/>
          <a:lstStyle/>
          <a:p>
            <a:pPr>
              <a:defRPr>
                <a:latin typeface="Arial"/>
                <a:ea typeface="Arial"/>
                <a:cs typeface="Arial"/>
              </a:defRPr>
            </a:pPr>
            <a:endParaRPr lang="pt-BR"/>
          </a:p>
        </c:txPr>
        <c:crossAx val="48650112"/>
        <c:crosses val="autoZero"/>
        <c:crossBetween val="between"/>
      </c:valAx>
    </c:plotArea>
    <c:legend>
      <c:legendPos val="t"/>
      <c:overlay val="0"/>
      <c:txPr>
        <a:bodyPr anchorCtr="1"/>
        <a:lstStyle/>
        <a:p>
          <a:pPr>
            <a:defRPr>
              <a:latin typeface="Arial"/>
              <a:ea typeface="Arial"/>
              <a:cs typeface="Arial"/>
            </a:defRPr>
          </a:pPr>
          <a:endParaRPr lang="pt-BR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8</xdr:col>
      <xdr:colOff>0</xdr:colOff>
      <xdr:row>30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16</xdr:row>
      <xdr:rowOff>0</xdr:rowOff>
    </xdr:from>
    <xdr:to>
      <xdr:col>16</xdr:col>
      <xdr:colOff>0</xdr:colOff>
      <xdr:row>30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31</xdr:row>
      <xdr:rowOff>0</xdr:rowOff>
    </xdr:from>
    <xdr:to>
      <xdr:col>8</xdr:col>
      <xdr:colOff>0</xdr:colOff>
      <xdr:row>45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73B56"/>
  </sheetPr>
  <dimension ref="A1:T46"/>
  <sheetViews>
    <sheetView showGridLines="0" tabSelected="1" zoomScaleNormal="100" workbookViewId="0">
      <selection activeCell="V6" sqref="V6"/>
    </sheetView>
  </sheetViews>
  <sheetFormatPr defaultRowHeight="13.8"/>
  <cols>
    <col min="2" max="2" width="30" customWidth="1"/>
    <col min="3" max="3" width="19" customWidth="1"/>
    <col min="4" max="4" width="22.296875" customWidth="1"/>
    <col min="5" max="5" width="22" customWidth="1"/>
    <col min="6" max="16" width="12" customWidth="1"/>
    <col min="18" max="18" width="13.5" bestFit="1" customWidth="1"/>
    <col min="19" max="19" width="9.8984375" bestFit="1" customWidth="1"/>
    <col min="20" max="20" width="11.8984375" bestFit="1" customWidth="1"/>
  </cols>
  <sheetData>
    <row r="1" spans="1:2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20" ht="21">
      <c r="A2" s="1"/>
      <c r="B2" s="2" t="s">
        <v>0</v>
      </c>
      <c r="C2" s="1"/>
      <c r="D2" s="1" t="s">
        <v>43</v>
      </c>
      <c r="E2" s="1" t="s">
        <v>44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R2" t="s">
        <v>1</v>
      </c>
      <c r="S2" s="18" t="s">
        <v>2</v>
      </c>
      <c r="T2" s="18" t="s">
        <v>3</v>
      </c>
    </row>
    <row r="3" spans="1:20">
      <c r="A3" s="1"/>
      <c r="B3" s="3" t="s">
        <v>4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R3" t="s">
        <v>5</v>
      </c>
      <c r="S3" s="18">
        <f>C6</f>
        <v>8.0055000000000005E-3</v>
      </c>
      <c r="T3" s="18">
        <f>D6</f>
        <v>9.7206250000000001E-3</v>
      </c>
    </row>
    <row r="4" spans="1:20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S4" s="18"/>
      <c r="T4" s="18"/>
    </row>
    <row r="5" spans="1:20" ht="25.05" customHeight="1">
      <c r="A5" s="1"/>
      <c r="B5" s="4" t="s">
        <v>6</v>
      </c>
      <c r="C5" s="9" t="s">
        <v>2</v>
      </c>
      <c r="D5" s="9" t="s">
        <v>3</v>
      </c>
      <c r="E5" s="9" t="s">
        <v>7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S5" s="18"/>
      <c r="T5" s="18"/>
    </row>
    <row r="6" spans="1:20" ht="25.05" customHeight="1">
      <c r="A6" s="1"/>
      <c r="B6" s="6" t="s">
        <v>5</v>
      </c>
      <c r="C6" s="10">
        <f>Medições!C21</f>
        <v>8.0055000000000005E-3</v>
      </c>
      <c r="D6" s="10">
        <f>Medições!D21</f>
        <v>9.7206250000000001E-3</v>
      </c>
      <c r="E6" s="14" t="s">
        <v>8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R6" t="s">
        <v>1</v>
      </c>
      <c r="S6" s="18" t="s">
        <v>2</v>
      </c>
      <c r="T6" s="18" t="s">
        <v>3</v>
      </c>
    </row>
    <row r="7" spans="1:20" ht="25.05" customHeight="1">
      <c r="A7" s="1"/>
      <c r="B7" s="6" t="s">
        <v>9</v>
      </c>
      <c r="C7" s="10">
        <f>Medições!C22</f>
        <v>2.8198936150147655E-4</v>
      </c>
      <c r="D7" s="10">
        <f>Medições!D22</f>
        <v>3.3959006274371129E-4</v>
      </c>
      <c r="E7" s="14" t="s">
        <v>8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R7" t="s">
        <v>10</v>
      </c>
      <c r="S7" s="18">
        <f>C8</f>
        <v>1.0860000000000001</v>
      </c>
      <c r="T7" s="18">
        <f>D8</f>
        <v>2.1170000000000004</v>
      </c>
    </row>
    <row r="8" spans="1:20" ht="25.05" customHeight="1">
      <c r="A8" s="1"/>
      <c r="B8" s="6" t="s">
        <v>10</v>
      </c>
      <c r="C8" s="11">
        <f>Medições!E21</f>
        <v>1.0860000000000001</v>
      </c>
      <c r="D8" s="11">
        <f>Medições!F21</f>
        <v>2.1170000000000004</v>
      </c>
      <c r="E8" s="14" t="s">
        <v>11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S8" s="18"/>
      <c r="T8" s="18"/>
    </row>
    <row r="9" spans="1:20" ht="25.05" customHeight="1">
      <c r="A9" s="1"/>
      <c r="B9" s="6" t="s">
        <v>12</v>
      </c>
      <c r="C9" s="11">
        <f>Medições!E22</f>
        <v>0</v>
      </c>
      <c r="D9" s="11">
        <f>Medições!F22</f>
        <v>0</v>
      </c>
      <c r="E9" s="14" t="s">
        <v>11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S9" s="18"/>
      <c r="T9" s="18"/>
    </row>
    <row r="10" spans="1:20" ht="25.05" customHeight="1">
      <c r="A10" s="1"/>
      <c r="B10" s="7" t="s">
        <v>13</v>
      </c>
      <c r="C10" s="12">
        <v>9</v>
      </c>
      <c r="D10" s="12">
        <v>11</v>
      </c>
      <c r="E10" s="15" t="s">
        <v>14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R10" t="s">
        <v>1</v>
      </c>
      <c r="S10" s="18" t="s">
        <v>2</v>
      </c>
      <c r="T10" s="18" t="s">
        <v>3</v>
      </c>
    </row>
    <row r="11" spans="1:20" ht="25.05" customHeight="1">
      <c r="A11" s="1"/>
      <c r="B11" s="6" t="s">
        <v>15</v>
      </c>
      <c r="C11" s="13">
        <v>8</v>
      </c>
      <c r="D11" s="13">
        <v>8</v>
      </c>
      <c r="E11" s="14" t="s">
        <v>16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R11" t="s">
        <v>17</v>
      </c>
      <c r="S11" s="18">
        <f>C10</f>
        <v>9</v>
      </c>
      <c r="T11" s="18">
        <f>D10</f>
        <v>11</v>
      </c>
    </row>
    <row r="12" spans="1:20" ht="25.05" customHeight="1">
      <c r="A12" s="1"/>
      <c r="B12" s="6" t="s">
        <v>18</v>
      </c>
      <c r="C12" s="14" t="s">
        <v>19</v>
      </c>
      <c r="D12" s="14" t="s">
        <v>19</v>
      </c>
      <c r="E12" s="14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20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20">
      <c r="A14" s="1"/>
      <c r="B14" s="8" t="s">
        <v>20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20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20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>
      <c r="A34" s="1"/>
      <c r="B34" s="1"/>
      <c r="C34" s="1"/>
      <c r="D34" s="1"/>
      <c r="E34" s="1"/>
      <c r="F34" s="1"/>
      <c r="G34" s="1"/>
      <c r="H34" s="1"/>
      <c r="I34" s="1"/>
      <c r="J34" s="5" t="s">
        <v>21</v>
      </c>
      <c r="K34" s="1"/>
      <c r="L34" s="1"/>
      <c r="M34" s="1"/>
      <c r="N34" s="1"/>
      <c r="O34" s="1"/>
      <c r="P34" s="1"/>
    </row>
    <row r="35" spans="1:16">
      <c r="A35" s="1"/>
      <c r="B35" s="1"/>
      <c r="C35" s="1"/>
      <c r="D35" s="1"/>
      <c r="E35" s="1"/>
      <c r="F35" s="1"/>
      <c r="G35" s="1"/>
      <c r="H35" s="1"/>
      <c r="I35" s="1"/>
      <c r="J35" s="1" t="s">
        <v>22</v>
      </c>
      <c r="K35" s="1"/>
      <c r="L35" s="1"/>
      <c r="M35" s="1"/>
      <c r="N35" s="1"/>
      <c r="O35" s="1"/>
      <c r="P35" s="1"/>
    </row>
    <row r="36" spans="1:16">
      <c r="A36" s="1"/>
      <c r="B36" s="1"/>
      <c r="C36" s="1"/>
      <c r="D36" s="1"/>
      <c r="E36" s="1"/>
      <c r="F36" s="1"/>
      <c r="G36" s="1"/>
      <c r="H36" s="1"/>
      <c r="I36" s="1"/>
      <c r="J36" s="1" t="s">
        <v>23</v>
      </c>
      <c r="K36" s="1"/>
      <c r="L36" s="1"/>
      <c r="M36" s="1"/>
      <c r="N36" s="1"/>
      <c r="O36" s="1"/>
      <c r="P36" s="1"/>
    </row>
    <row r="37" spans="1:16">
      <c r="A37" s="1"/>
      <c r="B37" s="1"/>
      <c r="C37" s="1"/>
      <c r="D37" s="1"/>
      <c r="E37" s="1"/>
      <c r="F37" s="1"/>
      <c r="G37" s="1"/>
      <c r="H37" s="1"/>
      <c r="I37" s="1"/>
      <c r="J37" s="1" t="s">
        <v>24</v>
      </c>
      <c r="K37" s="1"/>
      <c r="L37" s="1"/>
      <c r="M37" s="1"/>
      <c r="N37" s="1"/>
      <c r="O37" s="1"/>
      <c r="P37" s="1"/>
    </row>
    <row r="38" spans="1:1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8"/>
  <sheetViews>
    <sheetView showGridLines="0" workbookViewId="0">
      <pane ySplit="5" topLeftCell="A6" activePane="bottomLeft" state="frozen"/>
      <selection pane="bottomLeft" activeCell="J13" sqref="J13"/>
    </sheetView>
  </sheetViews>
  <sheetFormatPr defaultRowHeight="13.8"/>
  <cols>
    <col min="2" max="2" width="17" customWidth="1"/>
    <col min="3" max="4" width="22" customWidth="1"/>
    <col min="5" max="6" width="24" customWidth="1"/>
  </cols>
  <sheetData>
    <row r="1" spans="1:7">
      <c r="A1" s="1"/>
      <c r="B1" s="1"/>
      <c r="C1" s="1"/>
      <c r="D1" s="1"/>
      <c r="E1" s="1"/>
      <c r="F1" s="1"/>
      <c r="G1" s="1"/>
    </row>
    <row r="2" spans="1:7" ht="21">
      <c r="A2" s="1"/>
      <c r="B2" s="2" t="s">
        <v>25</v>
      </c>
      <c r="C2" s="1"/>
      <c r="D2" s="1"/>
      <c r="E2" s="1"/>
      <c r="F2" s="1"/>
      <c r="G2" s="1"/>
    </row>
    <row r="3" spans="1:7">
      <c r="A3" s="1"/>
      <c r="B3" s="3" t="s">
        <v>26</v>
      </c>
      <c r="C3" s="1"/>
      <c r="D3" s="1"/>
      <c r="E3" s="1"/>
      <c r="F3" s="1"/>
      <c r="G3" s="1"/>
    </row>
    <row r="4" spans="1:7">
      <c r="A4" s="1"/>
      <c r="B4" s="1"/>
      <c r="C4" s="1"/>
      <c r="D4" s="1"/>
      <c r="E4" s="1"/>
      <c r="F4" s="1"/>
      <c r="G4" s="1"/>
    </row>
    <row r="5" spans="1:7" ht="22.95" customHeight="1">
      <c r="A5" s="1"/>
      <c r="B5" s="9" t="s">
        <v>27</v>
      </c>
      <c r="C5" s="9" t="s">
        <v>28</v>
      </c>
      <c r="D5" s="9" t="s">
        <v>29</v>
      </c>
      <c r="E5" s="9" t="s">
        <v>30</v>
      </c>
      <c r="F5" s="9" t="s">
        <v>31</v>
      </c>
      <c r="G5" s="1"/>
    </row>
    <row r="6" spans="1:7" ht="22.95" customHeight="1">
      <c r="A6" s="1"/>
      <c r="B6" s="13">
        <v>1</v>
      </c>
      <c r="C6" s="10">
        <v>7.9570000000000005E-3</v>
      </c>
      <c r="D6" s="10">
        <v>9.5519999999999997E-3</v>
      </c>
      <c r="E6" s="11">
        <v>1.0860000000000001</v>
      </c>
      <c r="F6" s="11">
        <v>2.117</v>
      </c>
      <c r="G6" s="1"/>
    </row>
    <row r="7" spans="1:7" ht="22.95" customHeight="1">
      <c r="A7" s="1"/>
      <c r="B7" s="13">
        <v>2</v>
      </c>
      <c r="C7" s="10">
        <v>7.731E-3</v>
      </c>
      <c r="D7" s="10">
        <v>9.6550000000000004E-3</v>
      </c>
      <c r="E7" s="11">
        <v>1.0860000000000001</v>
      </c>
      <c r="F7" s="11">
        <v>2.117</v>
      </c>
      <c r="G7" s="1"/>
    </row>
    <row r="8" spans="1:7" ht="22.95" customHeight="1">
      <c r="A8" s="1"/>
      <c r="B8" s="13">
        <v>3</v>
      </c>
      <c r="C8" s="10">
        <v>8.4340000000000005E-3</v>
      </c>
      <c r="D8" s="10">
        <v>9.8779999999999996E-3</v>
      </c>
      <c r="E8" s="11">
        <v>1.0860000000000001</v>
      </c>
      <c r="F8" s="11">
        <v>2.117</v>
      </c>
      <c r="G8" s="1"/>
    </row>
    <row r="9" spans="1:7" ht="22.95" customHeight="1">
      <c r="A9" s="1"/>
      <c r="B9" s="13">
        <v>4</v>
      </c>
      <c r="C9" s="10">
        <v>8.0059999999999992E-3</v>
      </c>
      <c r="D9" s="10">
        <v>1.0473E-2</v>
      </c>
      <c r="E9" s="11">
        <v>1.0860000000000001</v>
      </c>
      <c r="F9" s="11">
        <v>2.117</v>
      </c>
      <c r="G9" s="1"/>
    </row>
    <row r="10" spans="1:7" ht="22.95" customHeight="1">
      <c r="A10" s="1"/>
      <c r="B10" s="13">
        <v>5</v>
      </c>
      <c r="C10" s="10">
        <v>8.1349999999999999E-3</v>
      </c>
      <c r="D10" s="10">
        <v>9.7590000000000003E-3</v>
      </c>
      <c r="E10" s="11">
        <v>1.0860000000000001</v>
      </c>
      <c r="F10" s="11">
        <v>2.117</v>
      </c>
      <c r="G10" s="1"/>
    </row>
    <row r="11" spans="1:7" ht="22.95" customHeight="1">
      <c r="A11" s="1"/>
      <c r="B11" s="13">
        <v>6</v>
      </c>
      <c r="C11" s="10">
        <v>7.8040000000000002E-3</v>
      </c>
      <c r="D11" s="10">
        <v>1.0616E-2</v>
      </c>
      <c r="E11" s="11">
        <v>1.0860000000000001</v>
      </c>
      <c r="F11" s="11">
        <v>2.117</v>
      </c>
      <c r="G11" s="1"/>
    </row>
    <row r="12" spans="1:7" ht="22.95" customHeight="1">
      <c r="A12" s="1"/>
      <c r="B12" s="13">
        <v>7</v>
      </c>
      <c r="C12" s="10">
        <v>8.6669999999999994E-3</v>
      </c>
      <c r="D12" s="10">
        <v>9.5619999999999993E-3</v>
      </c>
      <c r="E12" s="11">
        <v>1.0860000000000001</v>
      </c>
      <c r="F12" s="11">
        <v>2.117</v>
      </c>
      <c r="G12" s="1"/>
    </row>
    <row r="13" spans="1:7" ht="22.95" customHeight="1">
      <c r="A13" s="1"/>
      <c r="B13" s="13">
        <v>8</v>
      </c>
      <c r="C13" s="10">
        <v>7.6439999999999998E-3</v>
      </c>
      <c r="D13" s="10">
        <v>9.4809999999999998E-3</v>
      </c>
      <c r="E13" s="11">
        <v>1.0860000000000001</v>
      </c>
      <c r="F13" s="11">
        <v>2.117</v>
      </c>
      <c r="G13" s="1"/>
    </row>
    <row r="14" spans="1:7" ht="22.95" customHeight="1">
      <c r="A14" s="1"/>
      <c r="B14" s="13">
        <v>9</v>
      </c>
      <c r="C14" s="10">
        <v>8.3330000000000001E-3</v>
      </c>
      <c r="D14" s="10">
        <v>9.4050000000000002E-3</v>
      </c>
      <c r="E14" s="11">
        <v>1.0860000000000001</v>
      </c>
      <c r="F14" s="11">
        <v>2.117</v>
      </c>
      <c r="G14" s="1"/>
    </row>
    <row r="15" spans="1:7" ht="22.95" customHeight="1">
      <c r="A15" s="1"/>
      <c r="B15" s="13">
        <v>10</v>
      </c>
      <c r="C15" s="10">
        <v>7.5960000000000003E-3</v>
      </c>
      <c r="D15" s="10">
        <v>9.3209999999999994E-3</v>
      </c>
      <c r="E15" s="11">
        <v>1.0860000000000001</v>
      </c>
      <c r="F15" s="11">
        <v>2.117</v>
      </c>
      <c r="G15" s="1"/>
    </row>
    <row r="16" spans="1:7">
      <c r="A16" s="1"/>
      <c r="B16" s="1"/>
      <c r="C16" s="1"/>
      <c r="D16" s="1"/>
      <c r="E16" s="1"/>
      <c r="F16" s="1"/>
      <c r="G16" s="1"/>
    </row>
    <row r="17" spans="1:7">
      <c r="A17" s="1"/>
      <c r="B17" s="1"/>
      <c r="C17" s="1"/>
      <c r="D17" s="1"/>
      <c r="E17" s="1"/>
      <c r="F17" s="1"/>
      <c r="G17" s="1"/>
    </row>
    <row r="18" spans="1:7">
      <c r="A18" s="1"/>
      <c r="B18" s="5" t="s">
        <v>32</v>
      </c>
      <c r="C18" s="1"/>
      <c r="D18" s="1"/>
      <c r="E18" s="1"/>
      <c r="F18" s="1"/>
      <c r="G18" s="1"/>
    </row>
    <row r="19" spans="1:7">
      <c r="A19" s="1"/>
      <c r="B19" s="1"/>
      <c r="C19" s="1"/>
      <c r="D19" s="1"/>
      <c r="E19" s="1"/>
      <c r="F19" s="1"/>
      <c r="G19" s="1"/>
    </row>
    <row r="20" spans="1:7" ht="24" customHeight="1">
      <c r="A20" s="1"/>
      <c r="B20" s="4" t="s">
        <v>33</v>
      </c>
      <c r="C20" s="9" t="s">
        <v>34</v>
      </c>
      <c r="D20" s="9" t="s">
        <v>35</v>
      </c>
      <c r="E20" s="9" t="s">
        <v>36</v>
      </c>
      <c r="F20" s="9" t="s">
        <v>37</v>
      </c>
      <c r="G20" s="1"/>
    </row>
    <row r="21" spans="1:7" ht="24" customHeight="1">
      <c r="A21" s="1"/>
      <c r="B21" s="7" t="s">
        <v>38</v>
      </c>
      <c r="C21" s="16">
        <f>(SUM(C6:C15)-MIN(C6:C15)-MAX(C6:C15))/8</f>
        <v>8.0055000000000005E-3</v>
      </c>
      <c r="D21" s="16">
        <f>(SUM(D6:D15)-MIN(D6:D15)-MAX(D6:D15))/8</f>
        <v>9.7206250000000001E-3</v>
      </c>
      <c r="E21" s="17">
        <f>(SUM(E6:E15)-MIN(E6:E15)-MAX(E6:E15))/8</f>
        <v>1.0860000000000001</v>
      </c>
      <c r="F21" s="17">
        <f>(SUM(F6:F15)-MIN(F6:F15)-MAX(F6:F15))/8</f>
        <v>2.1170000000000004</v>
      </c>
      <c r="G21" s="1"/>
    </row>
    <row r="22" spans="1:7" ht="24" customHeight="1">
      <c r="A22" s="1"/>
      <c r="B22" s="7" t="s">
        <v>39</v>
      </c>
      <c r="C22" s="16">
        <f>IF(MAX(C6:C15)=MIN(C6:C15),0,SQRT(MAX(0,(SUMSQ(C6:C15)-MIN(C6:C15)^2-MAX(C6:C15)^2-(SUM(C6:C15)-MIN(C6:C15)-MAX(C6:C15))^2/8)/7)))</f>
        <v>2.8198936150147655E-4</v>
      </c>
      <c r="D22" s="16">
        <f>IF(MAX(D6:D15)=MIN(D6:D15),0,SQRT(MAX(0,(SUMSQ(D6:D15)-MIN(D6:D15)^2-MAX(D6:D15)^2-(SUM(D6:D15)-MIN(D6:D15)-MAX(D6:D15))^2/8)/7)))</f>
        <v>3.3959006274371129E-4</v>
      </c>
      <c r="E22" s="17">
        <f>IF(MAX(E6:E15)=MIN(E6:E15),0,SQRT(MAX(0,(SUMSQ(E6:E15)-MIN(E6:E15)^2-MAX(E6:E15)^2-(SUM(E6:E15)-MIN(E6:E15)-MAX(E6:E15))^2/8)/7)))</f>
        <v>0</v>
      </c>
      <c r="F22" s="17">
        <f>IF(MAX(F6:F15)=MIN(F6:F15),0,SQRT(MAX(0,(SUMSQ(F6:F15)-MIN(F6:F15)^2-MAX(F6:F15)^2-(SUM(F6:F15)-MIN(F6:F15)-MAX(F6:F15))^2/8)/7)))</f>
        <v>0</v>
      </c>
      <c r="G22" s="1"/>
    </row>
    <row r="23" spans="1:7">
      <c r="A23" s="1"/>
      <c r="B23" s="1"/>
      <c r="C23" s="1"/>
      <c r="D23" s="1"/>
      <c r="E23" s="1"/>
      <c r="F23" s="1"/>
      <c r="G23" s="1"/>
    </row>
    <row r="24" spans="1:7">
      <c r="A24" s="1"/>
      <c r="B24" s="1"/>
      <c r="C24" s="1"/>
      <c r="D24" s="1"/>
      <c r="E24" s="1"/>
      <c r="F24" s="1"/>
      <c r="G24" s="1"/>
    </row>
    <row r="25" spans="1:7">
      <c r="A25" s="1"/>
      <c r="B25" s="1" t="s">
        <v>40</v>
      </c>
      <c r="C25" s="1"/>
      <c r="D25" s="1"/>
      <c r="E25" s="1"/>
      <c r="F25" s="1"/>
      <c r="G25" s="1"/>
    </row>
    <row r="26" spans="1:7">
      <c r="A26" s="1"/>
      <c r="B26" s="1" t="s">
        <v>41</v>
      </c>
      <c r="C26" s="1"/>
      <c r="D26" s="1"/>
      <c r="E26" s="1"/>
      <c r="F26" s="1"/>
      <c r="G26" s="1"/>
    </row>
    <row r="27" spans="1:7">
      <c r="A27" s="1"/>
      <c r="B27" s="1" t="s">
        <v>42</v>
      </c>
      <c r="C27" s="1"/>
      <c r="D27" s="1"/>
      <c r="E27" s="1"/>
      <c r="F27" s="1"/>
      <c r="G27" s="1"/>
    </row>
    <row r="28" spans="1:7">
      <c r="A28" s="1"/>
      <c r="B28" s="1"/>
      <c r="C28" s="1"/>
      <c r="D28" s="1"/>
      <c r="E28" s="1"/>
      <c r="F28" s="1"/>
      <c r="G2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Resumo</vt:lpstr>
      <vt:lpstr>Medições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Alvise Schenorberger</dc:creator>
  <cp:lastModifiedBy>Gabriel Alvise Schenorberger</cp:lastModifiedBy>
  <dcterms:created xsi:type="dcterms:W3CDTF">2026-09-17T14:48:17Z</dcterms:created>
  <dcterms:modified xsi:type="dcterms:W3CDTF">2026-09-17T14:48:17Z</dcterms:modified>
</cp:coreProperties>
</file>